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  <sz val="11"/>
    </font>
    <font/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3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Operating Assumptions</t>
        </is>
      </c>
    </row>
    <row r="3">
      <c r="A3" s="2" t="inlineStr">
        <is>
          <t>Driver</t>
        </is>
      </c>
      <c r="B3" s="3" t="inlineStr">
        <is>
          <t>Value</t>
        </is>
      </c>
      <c r="C3" s="3" t="inlineStr">
        <is>
          <t>Unit</t>
        </is>
      </c>
    </row>
    <row r="4">
      <c r="A4" s="4" t="inlineStr">
        <is>
          <t>Starting customers</t>
        </is>
      </c>
      <c r="B4" s="5" t="n">
        <v>420</v>
      </c>
      <c r="C4" s="6" t="inlineStr">
        <is>
          <t>count</t>
        </is>
      </c>
    </row>
    <row r="5">
      <c r="A5" s="4" t="inlineStr">
        <is>
          <t>Quarterly logo growth</t>
        </is>
      </c>
      <c r="B5" s="7" t="n">
        <v>0.18</v>
      </c>
      <c r="C5" s="6" t="inlineStr">
        <is>
          <t>rate</t>
        </is>
      </c>
    </row>
    <row r="6">
      <c r="A6" s="4" t="inlineStr">
        <is>
          <t>Average revenue per account</t>
        </is>
      </c>
      <c r="B6" s="5" t="n">
        <v>1450</v>
      </c>
      <c r="C6" s="6" t="inlineStr">
        <is>
          <t>USD</t>
        </is>
      </c>
    </row>
    <row r="7">
      <c r="A7" s="4" t="inlineStr">
        <is>
          <t>Quarterly gross churn</t>
        </is>
      </c>
      <c r="B7" s="7" t="n">
        <v>0.055</v>
      </c>
      <c r="C7" s="6" t="inlineStr">
        <is>
          <t>rate</t>
        </is>
      </c>
    </row>
    <row r="8">
      <c r="A8" s="4" t="inlineStr">
        <is>
          <t>Gross margin</t>
        </is>
      </c>
      <c r="B8" s="7" t="n">
        <v>0.78</v>
      </c>
      <c r="C8" s="6" t="inlineStr">
        <is>
          <t>rate</t>
        </is>
      </c>
    </row>
    <row r="9">
      <c r="A9" s="4" t="inlineStr">
        <is>
          <t>Sales and marketing per quarter</t>
        </is>
      </c>
      <c r="B9" s="5" t="n">
        <v>385000</v>
      </c>
      <c r="C9" s="6" t="inlineStr">
        <is>
          <t>USD</t>
        </is>
      </c>
    </row>
    <row r="10">
      <c r="A10" s="4" t="inlineStr">
        <is>
          <t>Research and development per quarter</t>
        </is>
      </c>
      <c r="B10" s="5" t="n">
        <v>512000</v>
      </c>
      <c r="C10" s="6" t="inlineStr">
        <is>
          <t>USD</t>
        </is>
      </c>
    </row>
    <row r="11">
      <c r="A11" s="4" t="inlineStr">
        <is>
          <t>General and administrative per quarter</t>
        </is>
      </c>
      <c r="B11" s="5" t="n">
        <v>194000</v>
      </c>
      <c r="C11" s="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Revenue Build</t>
        </is>
      </c>
    </row>
    <row r="3">
      <c r="A3" s="2" t="inlineStr">
        <is>
          <t>FY2027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Total</t>
        </is>
      </c>
    </row>
    <row r="5">
      <c r="A5" s="2" t="inlineStr">
        <is>
          <t>Customers</t>
        </is>
      </c>
      <c r="B5" s="8">
        <f>Assumptions!B4</f>
        <v/>
      </c>
      <c r="C5" s="8">
        <f>B5*(1+Assumptions!$B$5)*(1-Assumptions!$B$7)</f>
        <v/>
      </c>
      <c r="D5" s="8">
        <f>C5*(1+Assumptions!$B$5)*(1-Assumptions!$B$7)</f>
        <v/>
      </c>
      <c r="E5" s="8">
        <f>D5*(1+Assumptions!$B$5)*(1-Assumptions!$B$7)</f>
        <v/>
      </c>
    </row>
    <row r="6">
      <c r="A6" s="2" t="inlineStr">
        <is>
          <t>Bookings</t>
        </is>
      </c>
      <c r="B6" s="8">
        <f>B5*Assumptions!$B$6</f>
        <v/>
      </c>
      <c r="C6" s="8">
        <f>C5*Assumptions!$B$6</f>
        <v/>
      </c>
      <c r="D6" s="8">
        <f>D5*Assumptions!$B$6</f>
        <v/>
      </c>
      <c r="E6" s="8">
        <f>E5*Assumptions!$B$6</f>
        <v/>
      </c>
    </row>
    <row r="8">
      <c r="A8" s="2" t="inlineStr">
        <is>
          <t>Total Bookings</t>
        </is>
      </c>
      <c r="F8" s="5">
        <f>SUM(B6:E6)</f>
        <v/>
      </c>
    </row>
    <row r="11">
      <c r="A11" s="2" t="inlineStr">
        <is>
          <t>Expansion</t>
        </is>
      </c>
    </row>
    <row r="12">
      <c r="A12" t="inlineStr">
        <is>
          <t>Expansion revenue</t>
        </is>
      </c>
      <c r="B12" s="8">
        <f>B6*Assumptions!$B$5</f>
        <v/>
      </c>
      <c r="C12" s="8">
        <f>C6*Assumptions!$B$5</f>
        <v/>
      </c>
      <c r="D12" s="8">
        <f>D6*Assumptions!$B$5</f>
        <v/>
      </c>
      <c r="E12" s="8">
        <f>E6*Assumptions!$B$5</f>
        <v/>
      </c>
    </row>
    <row r="15">
      <c r="A15" s="2" t="inlineStr">
        <is>
          <t>Quarterly revenue</t>
        </is>
      </c>
      <c r="B15" s="8">
        <f>B6+B12</f>
        <v/>
      </c>
      <c r="C15" s="8">
        <f>C6+C12</f>
        <v/>
      </c>
      <c r="D15" s="8">
        <f>D6+D12</f>
        <v/>
      </c>
      <c r="E15" s="8">
        <f>E6+E12</f>
        <v/>
      </c>
    </row>
    <row r="16">
      <c r="A16" s="2" t="inlineStr">
        <is>
          <t>Total Revenue</t>
        </is>
      </c>
      <c r="F16" s="5">
        <f>SUM(B15:E15)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</cols>
  <sheetData>
    <row r="1">
      <c r="A1" s="1" t="inlineStr">
        <is>
          <t>Profit and Loss, FY2027</t>
        </is>
      </c>
    </row>
    <row r="3">
      <c r="A3" s="2" t="inlineStr">
        <is>
          <t>Line item</t>
        </is>
      </c>
      <c r="B3" s="3" t="inlineStr">
        <is>
          <t>Note</t>
        </is>
      </c>
      <c r="C3" s="3" t="inlineStr">
        <is>
          <t>FY2027</t>
        </is>
      </c>
    </row>
    <row r="4">
      <c r="A4" t="inlineStr">
        <is>
          <t>Revenue</t>
        </is>
      </c>
      <c r="C4" s="8">
        <f>Revenue!F16</f>
        <v/>
      </c>
    </row>
    <row r="5">
      <c r="A5" t="inlineStr">
        <is>
          <t>Cost of revenue</t>
        </is>
      </c>
      <c r="C5" s="8">
        <f>-C4*(1-0.71)</f>
        <v/>
      </c>
    </row>
    <row r="6">
      <c r="A6" t="inlineStr">
        <is>
          <t>Gross Profit</t>
        </is>
      </c>
      <c r="C6" s="8">
        <f>C4+C5</f>
        <v/>
      </c>
    </row>
    <row r="7">
      <c r="A7" t="inlineStr">
        <is>
          <t>Total Operating Expenses</t>
        </is>
      </c>
      <c r="C7" s="8">
        <f>Assumptions!B9*4+Assumptions!B10*4+Assumptions!B11*4</f>
        <v/>
      </c>
    </row>
    <row r="8">
      <c r="A8" t="inlineStr">
        <is>
          <t>Operating Income</t>
        </is>
      </c>
      <c r="C8" s="8">
        <f>C6-C7</f>
        <v/>
      </c>
    </row>
    <row r="10">
      <c r="A10" t="inlineStr">
        <is>
          <t>Net Margin</t>
        </is>
      </c>
      <c r="C10" s="9">
        <f>C6/C4</f>
        <v/>
      </c>
    </row>
    <row r="12">
      <c r="A12" s="2" t="inlineStr">
        <is>
          <t>Headline</t>
        </is>
      </c>
    </row>
    <row r="13">
      <c r="A13" t="inlineStr">
        <is>
          <t>Ending ARR</t>
        </is>
      </c>
      <c r="C13">
        <f>Revenue!C12*4</f>
        <v/>
      </c>
    </row>
    <row r="15">
      <c r="A15" s="2" t="inlineStr">
        <is>
          <t>ARR (board figure)</t>
        </is>
      </c>
      <c r="C15" s="10">
        <f>Revenue!E6*4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2026-08-31T21:25:26Z</dcterms:created>
  <dcterms:modified xsi:type="dcterms:W3CDTF">2026-08-31T21:25:26Z</dcterms:modified>
</cp:coreProperties>
</file>