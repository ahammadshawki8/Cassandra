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Equipment Loan Amortisation</t>
        </is>
      </c>
    </row>
    <row r="3">
      <c r="A3" s="2" t="inlineStr">
        <is>
          <t>Principal</t>
        </is>
      </c>
      <c r="B3" s="3" t="n">
        <v>250000</v>
      </c>
    </row>
    <row r="4">
      <c r="A4" s="2" t="inlineStr">
        <is>
          <t>Annual rate</t>
        </is>
      </c>
      <c r="B4" s="4" t="n">
        <v>0.068</v>
      </c>
    </row>
    <row r="5">
      <c r="A5" s="2" t="inlineStr">
        <is>
          <t>Term in months</t>
        </is>
      </c>
      <c r="B5" t="n">
        <v>24</v>
      </c>
    </row>
    <row r="6">
      <c r="A6" s="2" t="inlineStr">
        <is>
          <t>Monthly payment</t>
        </is>
      </c>
      <c r="B6" s="3">
        <f>-PMT($B$4/12,$B$5,$B$3)</f>
        <v/>
      </c>
    </row>
    <row r="8">
      <c r="A8" s="2" t="inlineStr">
        <is>
          <t>Schedule</t>
        </is>
      </c>
      <c r="B8" s="5" t="inlineStr">
        <is>
          <t>Opening</t>
        </is>
      </c>
      <c r="C8" s="5" t="inlineStr">
        <is>
          <t>Payment</t>
        </is>
      </c>
      <c r="D8" s="5" t="inlineStr">
        <is>
          <t>Interest</t>
        </is>
      </c>
      <c r="E8" s="5" t="inlineStr">
        <is>
          <t>Principal</t>
        </is>
      </c>
      <c r="F8" s="5" t="inlineStr">
        <is>
          <t>Closing</t>
        </is>
      </c>
    </row>
    <row r="9">
      <c r="A9" t="inlineStr">
        <is>
          <t>Month 1</t>
        </is>
      </c>
      <c r="B9" s="3">
        <f>$B$3</f>
        <v/>
      </c>
      <c r="C9" s="3">
        <f>$B$6</f>
        <v/>
      </c>
      <c r="D9" s="3">
        <f>B9*$B$4/12</f>
        <v/>
      </c>
      <c r="E9" s="3">
        <f>C9-D9</f>
        <v/>
      </c>
      <c r="F9" s="3">
        <f>B9-E9</f>
        <v/>
      </c>
    </row>
    <row r="10">
      <c r="A10" t="inlineStr">
        <is>
          <t>Month 2</t>
        </is>
      </c>
      <c r="B10" s="3">
        <f>F9</f>
        <v/>
      </c>
      <c r="C10" s="3">
        <f>$B$6</f>
        <v/>
      </c>
      <c r="D10" s="3">
        <f>B10*$B$4/12</f>
        <v/>
      </c>
      <c r="E10" s="3">
        <f>C10-D10</f>
        <v/>
      </c>
      <c r="F10" s="3">
        <f>B10-E10</f>
        <v/>
      </c>
    </row>
    <row r="11">
      <c r="A11" t="inlineStr">
        <is>
          <t>Month 3</t>
        </is>
      </c>
      <c r="B11" s="3">
        <f>F10</f>
        <v/>
      </c>
      <c r="C11" s="3">
        <f>$B$6</f>
        <v/>
      </c>
      <c r="D11" s="3">
        <f>B11*$B$4/12</f>
        <v/>
      </c>
      <c r="E11" s="3">
        <f>C11-D11</f>
        <v/>
      </c>
      <c r="F11" s="3">
        <f>B11-E11</f>
        <v/>
      </c>
    </row>
    <row r="12">
      <c r="A12" t="inlineStr">
        <is>
          <t>Month 4</t>
        </is>
      </c>
      <c r="B12" s="3">
        <f>F11</f>
        <v/>
      </c>
      <c r="C12" s="3">
        <f>$B$6</f>
        <v/>
      </c>
      <c r="D12" s="3">
        <f>B12*$B$4/12</f>
        <v/>
      </c>
      <c r="E12" s="3">
        <f>C12-D12</f>
        <v/>
      </c>
      <c r="F12" s="3">
        <f>B12-E12</f>
        <v/>
      </c>
    </row>
    <row r="13">
      <c r="A13" t="inlineStr">
        <is>
          <t>Month 5</t>
        </is>
      </c>
      <c r="B13" s="3">
        <f>F12</f>
        <v/>
      </c>
      <c r="C13" s="3">
        <f>$B$6</f>
        <v/>
      </c>
      <c r="D13" s="3">
        <f>B13*$B$4/12</f>
        <v/>
      </c>
      <c r="E13" s="3">
        <f>C13-D13</f>
        <v/>
      </c>
      <c r="F13" s="3">
        <f>B13-E13</f>
        <v/>
      </c>
    </row>
    <row r="14">
      <c r="A14" t="inlineStr">
        <is>
          <t>Month 6</t>
        </is>
      </c>
      <c r="B14" s="3">
        <f>F13</f>
        <v/>
      </c>
      <c r="C14" s="3">
        <f>$B$6</f>
        <v/>
      </c>
      <c r="D14" s="3">
        <f>B14*$B$4/12</f>
        <v/>
      </c>
      <c r="E14" s="3">
        <f>C14-D14</f>
        <v/>
      </c>
      <c r="F14" s="3">
        <f>B14-E14</f>
        <v/>
      </c>
    </row>
    <row r="15">
      <c r="A15" t="inlineStr">
        <is>
          <t>Month 7</t>
        </is>
      </c>
      <c r="B15" s="3">
        <f>F14</f>
        <v/>
      </c>
      <c r="C15" s="3">
        <f>$B$6</f>
        <v/>
      </c>
      <c r="D15" s="3">
        <f>B15*$B$4/12</f>
        <v/>
      </c>
      <c r="E15" s="3">
        <f>C15-D15</f>
        <v/>
      </c>
      <c r="F15" s="3">
        <f>B15-E15</f>
        <v/>
      </c>
    </row>
    <row r="16">
      <c r="A16" t="inlineStr">
        <is>
          <t>Month 8</t>
        </is>
      </c>
      <c r="B16" s="3">
        <f>F15</f>
        <v/>
      </c>
      <c r="C16" s="3">
        <f>$B$6</f>
        <v/>
      </c>
      <c r="D16" s="3">
        <f>B16*$B$4/12</f>
        <v/>
      </c>
      <c r="E16" s="3">
        <f>C16-D16</f>
        <v/>
      </c>
      <c r="F16" s="3">
        <f>B16-E16</f>
        <v/>
      </c>
    </row>
    <row r="17">
      <c r="A17" t="inlineStr">
        <is>
          <t>Month 9</t>
        </is>
      </c>
      <c r="B17" s="3">
        <f>F16</f>
        <v/>
      </c>
      <c r="C17" s="3">
        <f>$B$6</f>
        <v/>
      </c>
      <c r="D17" s="3">
        <f>B17*$B$4/12</f>
        <v/>
      </c>
      <c r="E17" s="3">
        <f>C17-D17</f>
        <v/>
      </c>
      <c r="F17" s="3">
        <f>B17-E17</f>
        <v/>
      </c>
    </row>
    <row r="18">
      <c r="A18" t="inlineStr">
        <is>
          <t>Month 10</t>
        </is>
      </c>
      <c r="B18" s="3">
        <f>F17</f>
        <v/>
      </c>
      <c r="C18" s="3">
        <f>$B$6</f>
        <v/>
      </c>
      <c r="D18" s="3">
        <f>B18*$B$4/12</f>
        <v/>
      </c>
      <c r="E18" s="3">
        <f>C18-D18</f>
        <v/>
      </c>
      <c r="F18" s="3">
        <f>B18-E18</f>
        <v/>
      </c>
    </row>
    <row r="19">
      <c r="A19" t="inlineStr">
        <is>
          <t>Month 11</t>
        </is>
      </c>
      <c r="B19" s="3">
        <f>F18</f>
        <v/>
      </c>
      <c r="C19" s="3">
        <f>$B$6</f>
        <v/>
      </c>
      <c r="D19" s="3">
        <f>B19*$B$4/12</f>
        <v/>
      </c>
      <c r="E19" s="3">
        <f>C19-D19</f>
        <v/>
      </c>
      <c r="F19" s="3">
        <f>B19-E19</f>
        <v/>
      </c>
    </row>
    <row r="20">
      <c r="A20" t="inlineStr">
        <is>
          <t>Month 12</t>
        </is>
      </c>
      <c r="B20" s="3">
        <f>F19</f>
        <v/>
      </c>
      <c r="C20" s="3">
        <f>$B$6</f>
        <v/>
      </c>
      <c r="D20" s="3">
        <f>B20*$B$4/12</f>
        <v/>
      </c>
      <c r="E20" s="3">
        <f>C20-D20</f>
        <v/>
      </c>
      <c r="F20" s="3">
        <f>B20-E20</f>
        <v/>
      </c>
    </row>
    <row r="21">
      <c r="A21" t="inlineStr">
        <is>
          <t>Month 13</t>
        </is>
      </c>
      <c r="B21" s="3">
        <f>F20</f>
        <v/>
      </c>
      <c r="C21" s="3">
        <f>$B$6</f>
        <v/>
      </c>
      <c r="D21" s="3">
        <f>B21*$B$4/12</f>
        <v/>
      </c>
      <c r="E21" s="3">
        <f>C21-D21</f>
        <v/>
      </c>
      <c r="F21" s="3">
        <f>B21-E21</f>
        <v/>
      </c>
    </row>
    <row r="22">
      <c r="A22" t="inlineStr">
        <is>
          <t>Month 14</t>
        </is>
      </c>
      <c r="B22" s="3">
        <f>F21</f>
        <v/>
      </c>
      <c r="C22" s="3">
        <f>$B$6</f>
        <v/>
      </c>
      <c r="D22" s="3">
        <f>B22*$B$4/12</f>
        <v/>
      </c>
      <c r="E22" s="3">
        <f>C22-D22</f>
        <v/>
      </c>
      <c r="F22" s="3">
        <f>B22-E22</f>
        <v/>
      </c>
    </row>
    <row r="23">
      <c r="A23" t="inlineStr">
        <is>
          <t>Month 15</t>
        </is>
      </c>
      <c r="B23" s="3">
        <f>F22</f>
        <v/>
      </c>
      <c r="C23" s="3">
        <f>$B$6</f>
        <v/>
      </c>
      <c r="D23" s="3">
        <f>B23*$B$4/12</f>
        <v/>
      </c>
      <c r="E23" s="3">
        <f>C23-D23</f>
        <v/>
      </c>
      <c r="F23" s="3">
        <f>B23-E23</f>
        <v/>
      </c>
    </row>
    <row r="24">
      <c r="A24" t="inlineStr">
        <is>
          <t>Month 16</t>
        </is>
      </c>
      <c r="B24" s="3">
        <f>F23</f>
        <v/>
      </c>
      <c r="C24" s="3">
        <f>$B$6</f>
        <v/>
      </c>
      <c r="D24" s="3">
        <f>B24*$B$4/12</f>
        <v/>
      </c>
      <c r="E24" s="3">
        <f>C24-D24</f>
        <v/>
      </c>
      <c r="F24" s="3">
        <f>B24-E24</f>
        <v/>
      </c>
    </row>
    <row r="25">
      <c r="A25" t="inlineStr">
        <is>
          <t>Month 17</t>
        </is>
      </c>
      <c r="B25" s="3">
        <f>F24</f>
        <v/>
      </c>
      <c r="C25" s="3">
        <f>$B$6</f>
        <v/>
      </c>
      <c r="D25" s="3">
        <f>B25*$B$4/12</f>
        <v/>
      </c>
      <c r="E25" s="3">
        <f>C25-D25</f>
        <v/>
      </c>
      <c r="F25" s="3">
        <f>B25-E25</f>
        <v/>
      </c>
    </row>
    <row r="26">
      <c r="A26" t="inlineStr">
        <is>
          <t>Month 18</t>
        </is>
      </c>
      <c r="B26" s="3">
        <f>F25</f>
        <v/>
      </c>
      <c r="C26" s="3">
        <f>$B$6</f>
        <v/>
      </c>
      <c r="D26" s="3">
        <f>B26*$B$4/12</f>
        <v/>
      </c>
      <c r="E26" s="3">
        <f>C26-D26</f>
        <v/>
      </c>
      <c r="F26" s="3">
        <f>B26-E26</f>
        <v/>
      </c>
    </row>
    <row r="27">
      <c r="A27" t="inlineStr">
        <is>
          <t>Month 19</t>
        </is>
      </c>
      <c r="B27" s="3">
        <f>F26</f>
        <v/>
      </c>
      <c r="C27" s="3">
        <f>$B$6</f>
        <v/>
      </c>
      <c r="D27" s="3">
        <f>B27*$B$4/12</f>
        <v/>
      </c>
      <c r="E27" s="3">
        <f>C27-D27</f>
        <v/>
      </c>
      <c r="F27" s="3">
        <f>B27-E27</f>
        <v/>
      </c>
    </row>
    <row r="28">
      <c r="A28" t="inlineStr">
        <is>
          <t>Month 20</t>
        </is>
      </c>
      <c r="B28" s="3">
        <f>F27</f>
        <v/>
      </c>
      <c r="C28" s="3">
        <f>$B$6</f>
        <v/>
      </c>
      <c r="D28" s="3">
        <f>B28*$B$4/12</f>
        <v/>
      </c>
      <c r="E28" s="3">
        <f>C28-D28</f>
        <v/>
      </c>
      <c r="F28" s="3">
        <f>B28-E28</f>
        <v/>
      </c>
    </row>
    <row r="29">
      <c r="A29" t="inlineStr">
        <is>
          <t>Month 21</t>
        </is>
      </c>
      <c r="B29" s="3">
        <f>F28</f>
        <v/>
      </c>
      <c r="C29" s="3">
        <f>$B$6</f>
        <v/>
      </c>
      <c r="D29" s="3">
        <f>B29*$B$4/12</f>
        <v/>
      </c>
      <c r="E29" s="3">
        <f>C29-D29</f>
        <v/>
      </c>
      <c r="F29" s="3">
        <f>B29-E29</f>
        <v/>
      </c>
    </row>
    <row r="30">
      <c r="A30" t="inlineStr">
        <is>
          <t>Month 22</t>
        </is>
      </c>
      <c r="B30" s="3">
        <f>F29</f>
        <v/>
      </c>
      <c r="C30" s="3">
        <f>$B$6</f>
        <v/>
      </c>
      <c r="D30" s="3">
        <f>B30*$B$4/12</f>
        <v/>
      </c>
      <c r="E30" s="3">
        <f>C30-D30</f>
        <v/>
      </c>
      <c r="F30" s="3">
        <f>B30-E30</f>
        <v/>
      </c>
    </row>
    <row r="31">
      <c r="A31" t="inlineStr">
        <is>
          <t>Month 23</t>
        </is>
      </c>
      <c r="B31" s="3">
        <f>F30</f>
        <v/>
      </c>
      <c r="C31" s="3">
        <f>$B$6</f>
        <v/>
      </c>
      <c r="D31" s="3">
        <f>B31*$B$4/12</f>
        <v/>
      </c>
      <c r="E31" s="3">
        <f>C31-D31</f>
        <v/>
      </c>
      <c r="F31" s="3">
        <f>B31-E31</f>
        <v/>
      </c>
    </row>
    <row r="32">
      <c r="A32" t="inlineStr">
        <is>
          <t>Month 24</t>
        </is>
      </c>
      <c r="B32" s="3">
        <f>F31</f>
        <v/>
      </c>
      <c r="C32" s="3">
        <f>$B$6</f>
        <v/>
      </c>
      <c r="D32" s="3">
        <f>B32*$B$4/12</f>
        <v/>
      </c>
      <c r="E32" s="3">
        <f>C32-D32</f>
        <v/>
      </c>
      <c r="F32" s="3">
        <f>B32-E32</f>
        <v/>
      </c>
    </row>
    <row r="34">
      <c r="A34" s="2" t="inlineStr">
        <is>
          <t>Total interest</t>
        </is>
      </c>
      <c r="D34" s="3">
        <f>SUM(D9:D32)</f>
        <v/>
      </c>
    </row>
    <row r="35">
      <c r="A35" s="2" t="inlineStr">
        <is>
          <t>Total repaid</t>
        </is>
      </c>
      <c r="C35" s="3">
        <f>SUM(C9:C32)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2026-08-31T21:25:26Z</dcterms:created>
  <dcterms:modified xsi:type="dcterms:W3CDTF">2026-08-31T21:25:26Z</dcterms:modified>
</cp:coreProperties>
</file>