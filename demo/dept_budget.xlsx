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Marketing Department, FY2027</t>
        </is>
      </c>
    </row>
    <row r="3">
      <c r="A3" s="2" t="inlineStr">
        <is>
          <t>Line</t>
        </is>
      </c>
      <c r="B3" s="3" t="inlineStr">
        <is>
          <t>Budget</t>
        </is>
      </c>
      <c r="C3" s="3" t="inlineStr">
        <is>
          <t>Actual</t>
        </is>
      </c>
      <c r="D3" s="3" t="inlineStr">
        <is>
          <t>Variance</t>
        </is>
      </c>
      <c r="E3" s="3" t="inlineStr">
        <is>
          <t>Variance %</t>
        </is>
      </c>
    </row>
    <row r="4">
      <c r="A4" t="inlineStr">
        <is>
          <t>Paid search</t>
        </is>
      </c>
      <c r="B4" s="4" t="n">
        <v>240000</v>
      </c>
      <c r="C4" s="4" t="n">
        <v>268400</v>
      </c>
      <c r="D4" s="4">
        <f>B4-C4</f>
        <v/>
      </c>
      <c r="E4" s="5">
        <f>D4/B4</f>
        <v/>
      </c>
    </row>
    <row r="5">
      <c r="A5" t="inlineStr">
        <is>
          <t>Content and SEO</t>
        </is>
      </c>
      <c r="B5" s="4" t="n">
        <v>120000</v>
      </c>
      <c r="C5" s="4" t="n">
        <v>111200</v>
      </c>
      <c r="D5" s="4">
        <f>B5-C5</f>
        <v/>
      </c>
      <c r="E5" s="5">
        <f>D5/B5</f>
        <v/>
      </c>
    </row>
    <row r="6">
      <c r="A6" t="inlineStr">
        <is>
          <t>Events</t>
        </is>
      </c>
      <c r="B6" s="4" t="n">
        <v>185000</v>
      </c>
      <c r="C6" s="4" t="n">
        <v>203900</v>
      </c>
      <c r="D6" s="4">
        <f>B6-C6</f>
        <v/>
      </c>
      <c r="E6" s="5">
        <f>D6/B6</f>
        <v/>
      </c>
    </row>
    <row r="7">
      <c r="A7" t="inlineStr">
        <is>
          <t>Brand and creative</t>
        </is>
      </c>
      <c r="B7" s="4" t="n">
        <v>96000</v>
      </c>
      <c r="C7" s="4" t="n">
        <v>88700</v>
      </c>
      <c r="D7" s="4">
        <f>B7-C7</f>
        <v/>
      </c>
      <c r="E7" s="5">
        <f>D7/B7</f>
        <v/>
      </c>
    </row>
    <row r="8">
      <c r="A8" t="inlineStr">
        <is>
          <t>Tooling and software</t>
        </is>
      </c>
      <c r="B8" s="4" t="n">
        <v>74000</v>
      </c>
      <c r="C8" s="4" t="n">
        <v>79300</v>
      </c>
      <c r="D8" s="4">
        <f>B8-C8</f>
        <v/>
      </c>
      <c r="E8" s="5">
        <f>D8/B8</f>
        <v/>
      </c>
    </row>
    <row r="9">
      <c r="A9" t="inlineStr">
        <is>
          <t>Contract design</t>
        </is>
      </c>
      <c r="B9" s="4" t="n">
        <v>52000</v>
      </c>
      <c r="C9" s="4" t="n">
        <v>47600</v>
      </c>
      <c r="D9" s="4">
        <f>C9-B9</f>
        <v/>
      </c>
      <c r="E9" s="5">
        <f>D9/B9</f>
        <v/>
      </c>
    </row>
    <row r="12">
      <c r="A12" s="2" t="inlineStr">
        <is>
          <t>Totals</t>
        </is>
      </c>
      <c r="B12" s="4">
        <f>SUM(B4:B9)</f>
        <v/>
      </c>
      <c r="C12" s="4">
        <f>SUM(C4:C9)</f>
        <v/>
      </c>
      <c r="D12" s="4">
        <f>SUM(D4:D9)</f>
        <v/>
      </c>
    </row>
    <row r="14">
      <c r="A14" s="2" t="inlineStr">
        <is>
          <t>Committed spend</t>
        </is>
      </c>
    </row>
    <row r="15">
      <c r="A15" t="inlineStr">
        <is>
          <t>Total committed</t>
        </is>
      </c>
      <c r="C15" s="4">
        <f>SUM(C4:C8)</f>
        <v/>
      </c>
    </row>
    <row r="17">
      <c r="A17" s="2" t="inlineStr">
        <is>
          <t>Budget utilisation</t>
        </is>
      </c>
      <c r="C17" s="5">
        <f>C12/B12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2026-08-31T21:25:26Z</dcterms:created>
  <dcterms:modified xsi:type="dcterms:W3CDTF">2026-08-31T21:25:26Z</dcterms:modified>
</cp:coreProperties>
</file>